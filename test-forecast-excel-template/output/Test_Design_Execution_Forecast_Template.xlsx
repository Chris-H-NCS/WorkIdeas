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nputs" sheetId="2" state="visible" r:id="rId2"/>
    <sheet name="Test_Plan" sheetId="3" state="visible" r:id="rId3"/>
    <sheet name="Execution_Tracking" sheetId="4" state="visible" r:id="rId4"/>
    <sheet name="Forecast_Summary" sheetId="5" state="visible" r:id="rId5"/>
  </sheets>
  <definedNames>
    <definedName name="_xlnm._FilterDatabase" localSheetId="1" hidden="1">'Inputs'!$A$1:$C$14</definedName>
    <definedName name="_xlnm._FilterDatabase" localSheetId="2" hidden="1">'Test_Plan'!$A$1:$J$4</definedName>
    <definedName name="_xlnm._FilterDatabase" localSheetId="3" hidden="1">'Execution_Tracking'!$A$1:$J$4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Test Design &amp; Execution Forecast Template</t>
        </is>
      </c>
    </row>
    <row r="3">
      <c r="A3" s="2" t="inlineStr">
        <is>
          <t>How to use</t>
        </is>
      </c>
    </row>
    <row r="4">
      <c r="A4" t="inlineStr">
        <is>
          <t>1) Fill assumptions in Inputs sheet</t>
        </is>
      </c>
    </row>
    <row r="5">
      <c r="A5" t="inlineStr">
        <is>
          <t>2) Add planned test cases in Test_Plan</t>
        </is>
      </c>
    </row>
    <row r="6">
      <c r="A6" t="inlineStr">
        <is>
          <t>3) Track execution in Execution_Tracking</t>
        </is>
      </c>
    </row>
    <row r="7">
      <c r="A7" t="inlineStr">
        <is>
          <t>4) Review KPIs and forecast in Forecast_Summary</t>
        </is>
      </c>
    </row>
    <row r="9">
      <c r="A9" s="3" t="inlineStr">
        <is>
          <t>Tip: Keep Test IDs consistent across Test_Plan and Execution_Tracking.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41" customWidth="1" min="3" max="3"/>
  </cols>
  <sheetData>
    <row r="1">
      <c r="A1" s="4" t="inlineStr">
        <is>
          <t>Input</t>
        </is>
      </c>
      <c r="B1" s="4" t="inlineStr">
        <is>
          <t>Value</t>
        </is>
      </c>
      <c r="C1" s="4" t="inlineStr">
        <is>
          <t>Notes</t>
        </is>
      </c>
    </row>
    <row r="2">
      <c r="A2" t="inlineStr">
        <is>
          <t>Planned test cases</t>
        </is>
      </c>
      <c r="B2" t="n">
        <v>120</v>
      </c>
      <c r="C2" t="inlineStr">
        <is>
          <t>Total number of test cases expected</t>
        </is>
      </c>
    </row>
    <row r="3">
      <c r="A3" t="inlineStr">
        <is>
          <t>Avg design hours per test</t>
        </is>
      </c>
      <c r="B3" t="n">
        <v>1.5</v>
      </c>
      <c r="C3" t="inlineStr">
        <is>
          <t>Average effort to design one test case</t>
        </is>
      </c>
    </row>
    <row r="4">
      <c r="A4" t="inlineStr">
        <is>
          <t>Avg execution hours per test</t>
        </is>
      </c>
      <c r="B4" t="n">
        <v>0.75</v>
      </c>
      <c r="C4" t="inlineStr">
        <is>
          <t>Average effort to execute one test case</t>
        </is>
      </c>
    </row>
    <row r="5">
      <c r="A5" t="inlineStr">
        <is>
          <t>No. of test designers</t>
        </is>
      </c>
      <c r="B5" t="n">
        <v>2</v>
      </c>
      <c r="C5" t="inlineStr">
        <is>
          <t>People available for design</t>
        </is>
      </c>
    </row>
    <row r="6">
      <c r="A6" t="inlineStr">
        <is>
          <t>Design hours per designer/day</t>
        </is>
      </c>
      <c r="B6" t="n">
        <v>6</v>
      </c>
      <c r="C6" t="inlineStr">
        <is>
          <t>Net productive hours per day</t>
        </is>
      </c>
    </row>
    <row r="7">
      <c r="A7" t="inlineStr">
        <is>
          <t>No. of test executors</t>
        </is>
      </c>
      <c r="B7" t="n">
        <v>3</v>
      </c>
      <c r="C7" t="inlineStr">
        <is>
          <t>People available for execution</t>
        </is>
      </c>
    </row>
    <row r="8">
      <c r="A8" t="inlineStr">
        <is>
          <t>Execution hours per executor/day</t>
        </is>
      </c>
      <c r="B8" t="n">
        <v>6</v>
      </c>
      <c r="C8" t="inlineStr">
        <is>
          <t>Net productive hours per day</t>
        </is>
      </c>
    </row>
    <row r="9">
      <c r="A9" t="inlineStr">
        <is>
          <t>Re-test uplift %</t>
        </is>
      </c>
      <c r="B9" t="n">
        <v>0.15</v>
      </c>
      <c r="C9" t="inlineStr">
        <is>
          <t>Expected re-test effort as a fraction</t>
        </is>
      </c>
    </row>
    <row r="10">
      <c r="A10" t="inlineStr">
        <is>
          <t>Contingency %</t>
        </is>
      </c>
      <c r="B10" s="5" t="n">
        <v>0.1</v>
      </c>
      <c r="C10" t="inlineStr">
        <is>
          <t>Extra allowance for uncertainty</t>
        </is>
      </c>
    </row>
    <row r="11">
      <c r="A11" t="inlineStr">
        <is>
          <t>Total design hours</t>
        </is>
      </c>
      <c r="B11" s="6">
        <f>B2*B3*(1+B10)</f>
        <v/>
      </c>
      <c r="C11" t="inlineStr">
        <is>
          <t>Calculated</t>
        </is>
      </c>
    </row>
    <row r="12">
      <c r="A12" t="inlineStr">
        <is>
          <t>Total execution hours</t>
        </is>
      </c>
      <c r="B12" s="6">
        <f>B2*B4*(1+B9+B10)</f>
        <v/>
      </c>
      <c r="C12" t="inlineStr">
        <is>
          <t>Calculated</t>
        </is>
      </c>
    </row>
    <row r="13">
      <c r="A13" t="inlineStr">
        <is>
          <t>Forecast design days</t>
        </is>
      </c>
      <c r="B13" s="6">
        <f>IF(B5*B6=0,0,B11/(B5*B6))</f>
        <v/>
      </c>
      <c r="C13" t="inlineStr">
        <is>
          <t>Calculated</t>
        </is>
      </c>
    </row>
    <row r="14">
      <c r="A14" t="inlineStr">
        <is>
          <t>Forecast execution days</t>
        </is>
      </c>
      <c r="B14" s="6">
        <f>IF(B7*B8=0,0,B12/(B7*B8))</f>
        <v/>
      </c>
      <c r="C14" t="inlineStr">
        <is>
          <t>Calculated</t>
        </is>
      </c>
    </row>
  </sheetData>
  <autoFilter ref="A1:C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3" customWidth="1" min="5" max="5"/>
    <col width="12" customWidth="1" min="6" max="6"/>
    <col width="14" customWidth="1" min="7" max="7"/>
    <col width="24" customWidth="1" min="8" max="8"/>
    <col width="27" customWidth="1" min="9" max="9"/>
    <col width="15" customWidth="1" min="10" max="10"/>
  </cols>
  <sheetData>
    <row r="1">
      <c r="A1" s="4" t="inlineStr">
        <is>
          <t>Test ID</t>
        </is>
      </c>
      <c r="B1" s="4" t="inlineStr">
        <is>
          <t>Feature</t>
        </is>
      </c>
      <c r="C1" s="4" t="inlineStr">
        <is>
          <t>Test Scenario</t>
        </is>
      </c>
      <c r="D1" s="4" t="inlineStr">
        <is>
          <t>Priority</t>
        </is>
      </c>
      <c r="E1" s="4" t="inlineStr">
        <is>
          <t>Test Type</t>
        </is>
      </c>
      <c r="F1" s="4" t="inlineStr">
        <is>
          <t>Complexity</t>
        </is>
      </c>
      <c r="G1" s="4" t="inlineStr">
        <is>
          <t>Design Owner</t>
        </is>
      </c>
      <c r="H1" s="4" t="inlineStr">
        <is>
          <t>Estimated Design Hours</t>
        </is>
      </c>
      <c r="I1" s="4" t="inlineStr">
        <is>
          <t>Estimated Execution Hours</t>
        </is>
      </c>
      <c r="J1" s="4" t="inlineStr">
        <is>
          <t>Design Status</t>
        </is>
      </c>
    </row>
    <row r="2">
      <c r="A2" t="inlineStr">
        <is>
          <t>TC-001</t>
        </is>
      </c>
      <c r="B2" t="inlineStr">
        <is>
          <t>Login</t>
        </is>
      </c>
      <c r="C2" t="inlineStr">
        <is>
          <t>Valid login with MFA</t>
        </is>
      </c>
      <c r="D2" t="inlineStr">
        <is>
          <t>High</t>
        </is>
      </c>
      <c r="E2" t="inlineStr">
        <is>
          <t>Functional</t>
        </is>
      </c>
      <c r="F2" t="inlineStr">
        <is>
          <t>Medium</t>
        </is>
      </c>
      <c r="G2" t="inlineStr">
        <is>
          <t>Analyst A</t>
        </is>
      </c>
      <c r="H2" t="n">
        <v>1.5</v>
      </c>
      <c r="I2" t="n">
        <v>0.75</v>
      </c>
      <c r="J2" t="inlineStr">
        <is>
          <t>Designed</t>
        </is>
      </c>
    </row>
    <row r="3">
      <c r="A3" t="inlineStr">
        <is>
          <t>TC-002</t>
        </is>
      </c>
      <c r="B3" t="inlineStr">
        <is>
          <t>Login</t>
        </is>
      </c>
      <c r="C3" t="inlineStr">
        <is>
          <t>Invalid password lockout</t>
        </is>
      </c>
      <c r="D3" t="inlineStr">
        <is>
          <t>High</t>
        </is>
      </c>
      <c r="E3" t="inlineStr">
        <is>
          <t>Functional</t>
        </is>
      </c>
      <c r="F3" t="inlineStr">
        <is>
          <t>Low</t>
        </is>
      </c>
      <c r="G3" t="inlineStr">
        <is>
          <t>Analyst B</t>
        </is>
      </c>
      <c r="H3" t="n">
        <v>1</v>
      </c>
      <c r="I3" t="n">
        <v>0.5</v>
      </c>
      <c r="J3" t="inlineStr">
        <is>
          <t>In Design</t>
        </is>
      </c>
    </row>
    <row r="4">
      <c r="A4" t="inlineStr">
        <is>
          <t>TC-003</t>
        </is>
      </c>
      <c r="B4" t="inlineStr">
        <is>
          <t>Checkout</t>
        </is>
      </c>
      <c r="C4" t="inlineStr">
        <is>
          <t>Promo code with tax</t>
        </is>
      </c>
      <c r="D4" t="inlineStr">
        <is>
          <t>Medium</t>
        </is>
      </c>
      <c r="E4" t="inlineStr">
        <is>
          <t>Integration</t>
        </is>
      </c>
      <c r="F4" t="inlineStr">
        <is>
          <t>High</t>
        </is>
      </c>
      <c r="G4" t="inlineStr">
        <is>
          <t>Analyst A</t>
        </is>
      </c>
      <c r="H4" t="n">
        <v>2</v>
      </c>
      <c r="I4" t="n">
        <v>1</v>
      </c>
      <c r="J4" t="inlineStr">
        <is>
          <t>Not Started</t>
        </is>
      </c>
    </row>
  </sheetData>
  <autoFilter ref="A1:J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9" customWidth="1" min="4" max="4"/>
    <col width="18" customWidth="1" min="5" max="5"/>
    <col width="12" customWidth="1" min="6" max="6"/>
    <col width="17" customWidth="1" min="7" max="7"/>
    <col width="18" customWidth="1" min="8" max="8"/>
    <col width="17" customWidth="1" min="9" max="9"/>
    <col width="33" customWidth="1" min="10" max="10"/>
  </cols>
  <sheetData>
    <row r="1">
      <c r="A1" s="4" t="inlineStr">
        <is>
          <t>Test ID</t>
        </is>
      </c>
      <c r="B1" s="4" t="inlineStr">
        <is>
          <t>Feature</t>
        </is>
      </c>
      <c r="C1" s="4" t="inlineStr">
        <is>
          <t>Execution Status</t>
        </is>
      </c>
      <c r="D1" s="4" t="inlineStr">
        <is>
          <t>Planned Exec Date</t>
        </is>
      </c>
      <c r="E1" s="4" t="inlineStr">
        <is>
          <t>Actual Exec Date</t>
        </is>
      </c>
      <c r="F1" s="4" t="inlineStr">
        <is>
          <t>Defect ID</t>
        </is>
      </c>
      <c r="G1" s="4" t="inlineStr">
        <is>
          <t>Defect Severity</t>
        </is>
      </c>
      <c r="H1" s="4" t="inlineStr">
        <is>
          <t>Re-test Required</t>
        </is>
      </c>
      <c r="I1" s="4" t="inlineStr">
        <is>
          <t>Execution Owner</t>
        </is>
      </c>
      <c r="J1" s="4" t="inlineStr">
        <is>
          <t>Notes</t>
        </is>
      </c>
    </row>
    <row r="2">
      <c r="A2" t="inlineStr">
        <is>
          <t>TC-001</t>
        </is>
      </c>
      <c r="B2" t="inlineStr">
        <is>
          <t>Login</t>
        </is>
      </c>
      <c r="C2" t="inlineStr">
        <is>
          <t>Pass</t>
        </is>
      </c>
      <c r="D2" t="inlineStr">
        <is>
          <t>2026-03-30</t>
        </is>
      </c>
      <c r="E2" t="inlineStr">
        <is>
          <t>2026-03-30</t>
        </is>
      </c>
      <c r="F2" t="inlineStr"/>
      <c r="G2" t="inlineStr"/>
      <c r="H2" t="inlineStr">
        <is>
          <t>No</t>
        </is>
      </c>
      <c r="I2" t="inlineStr">
        <is>
          <t>Tester A</t>
        </is>
      </c>
      <c r="J2" t="inlineStr"/>
    </row>
    <row r="3">
      <c r="A3" t="inlineStr">
        <is>
          <t>TC-002</t>
        </is>
      </c>
      <c r="B3" t="inlineStr">
        <is>
          <t>Login</t>
        </is>
      </c>
      <c r="C3" t="inlineStr">
        <is>
          <t>Fail</t>
        </is>
      </c>
      <c r="D3" t="inlineStr">
        <is>
          <t>2026-03-30</t>
        </is>
      </c>
      <c r="E3" t="inlineStr">
        <is>
          <t>2026-03-31</t>
        </is>
      </c>
      <c r="F3" t="inlineStr">
        <is>
          <t>BUG-1201</t>
        </is>
      </c>
      <c r="G3" t="inlineStr">
        <is>
          <t>High</t>
        </is>
      </c>
      <c r="H3" t="inlineStr">
        <is>
          <t>Yes</t>
        </is>
      </c>
      <c r="I3" t="inlineStr">
        <is>
          <t>Tester B</t>
        </is>
      </c>
      <c r="J3" t="inlineStr">
        <is>
          <t>Account lock threshold mismatch</t>
        </is>
      </c>
    </row>
    <row r="4">
      <c r="A4" t="inlineStr">
        <is>
          <t>TC-003</t>
        </is>
      </c>
      <c r="B4" t="inlineStr">
        <is>
          <t>Checkout</t>
        </is>
      </c>
      <c r="C4" t="inlineStr">
        <is>
          <t>Not Run</t>
        </is>
      </c>
      <c r="D4" t="inlineStr">
        <is>
          <t>2026-04-01</t>
        </is>
      </c>
      <c r="E4" t="inlineStr"/>
      <c r="F4" t="inlineStr"/>
      <c r="G4" t="inlineStr"/>
      <c r="H4" t="inlineStr">
        <is>
          <t>No</t>
        </is>
      </c>
      <c r="I4" t="inlineStr">
        <is>
          <t>Tester C</t>
        </is>
      </c>
      <c r="J4" t="inlineStr">
        <is>
          <t>Blocked by env refresh</t>
        </is>
      </c>
    </row>
  </sheetData>
  <autoFilter ref="A1:J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Forecast Summary</t>
        </is>
      </c>
    </row>
    <row r="2">
      <c r="A2" s="4" t="inlineStr">
        <is>
          <t>Metric</t>
        </is>
      </c>
      <c r="B2" s="4" t="inlineStr">
        <is>
          <t>Value</t>
        </is>
      </c>
    </row>
    <row r="3">
      <c r="A3" t="inlineStr">
        <is>
          <t>Total Planned Test Cases</t>
        </is>
      </c>
      <c r="B3">
        <f>Inputs!B2</f>
        <v/>
      </c>
    </row>
    <row r="4">
      <c r="A4" t="inlineStr">
        <is>
          <t>Designed Test Cases</t>
        </is>
      </c>
      <c r="B4" s="5">
        <f>COUNTIF(Test_Plan!J2:J1000,"Designed")</f>
        <v/>
      </c>
    </row>
    <row r="5">
      <c r="A5" t="inlineStr">
        <is>
          <t>Design Completion %</t>
        </is>
      </c>
      <c r="B5">
        <f>IF(B2=0,0,B3/B2)</f>
        <v/>
      </c>
    </row>
    <row r="6">
      <c r="A6" t="inlineStr">
        <is>
          <t>Executed Test Cases</t>
        </is>
      </c>
      <c r="B6" s="5">
        <f>COUNTIFS(Execution_Tracking!C2:C1000,"&lt;&gt;Not Run",Execution_Tracking!C2:C1000,"&lt;&gt;")</f>
        <v/>
      </c>
    </row>
    <row r="7">
      <c r="A7" t="inlineStr">
        <is>
          <t>Execution Completion %</t>
        </is>
      </c>
      <c r="B7">
        <f>IF(B2=0,0,B5/B2)</f>
        <v/>
      </c>
    </row>
    <row r="8">
      <c r="A8" t="inlineStr">
        <is>
          <t>Passed</t>
        </is>
      </c>
      <c r="B8">
        <f>COUNTIF(Execution_Tracking!C2:C1000,"Pass")</f>
        <v/>
      </c>
    </row>
    <row r="9">
      <c r="A9" t="inlineStr">
        <is>
          <t>Failed</t>
        </is>
      </c>
      <c r="B9">
        <f>COUNTIF(Execution_Tracking!C2:C1000,"Fail")</f>
        <v/>
      </c>
    </row>
    <row r="10">
      <c r="A10" t="inlineStr">
        <is>
          <t>Blocked</t>
        </is>
      </c>
      <c r="B10" s="5">
        <f>COUNTIF(Execution_Tracking!C2:C1000,"Blocked")</f>
        <v/>
      </c>
    </row>
    <row r="11">
      <c r="A11" t="inlineStr">
        <is>
          <t>Pass Rate %</t>
        </is>
      </c>
      <c r="B11">
        <f>IF(B5=0,0,B6/B5)</f>
        <v/>
      </c>
    </row>
    <row r="12">
      <c r="A12" t="inlineStr">
        <is>
          <t>Open Defect Count</t>
        </is>
      </c>
      <c r="B12" s="6">
        <f>COUNTIF(Execution_Tracking!F2:F1000,"&lt;&gt;")</f>
        <v/>
      </c>
    </row>
    <row r="13">
      <c r="A13" t="inlineStr">
        <is>
          <t>Forecast Design Days</t>
        </is>
      </c>
      <c r="B13" s="6">
        <f>Inputs!B13</f>
        <v/>
      </c>
    </row>
    <row r="14">
      <c r="A14" t="inlineStr">
        <is>
          <t>Forecast Execution Days</t>
        </is>
      </c>
      <c r="B14">
        <f>Inputs!B14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2026-03-27T05:21:56Z</dcterms:created>
  <dcterms:modified xsi:type="dcterms:W3CDTF">2026-03-27T05:21:56Z</dcterms:modified>
</cp:coreProperties>
</file>